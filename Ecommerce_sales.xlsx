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hidePivotFieldList="1" defaultThemeVersion="166925"/>
  <xr:revisionPtr revIDLastSave="333" documentId="11_E60897F41BE170836B02CE998F75CCDC64E183C8" xr6:coauthVersionLast="47" xr6:coauthVersionMax="47" xr10:uidLastSave="{E9CC9B68-4BDD-40E6-A006-2FE958D7724A}"/>
  <bookViews>
    <workbookView xWindow="240" yWindow="105" windowWidth="14805" windowHeight="8010" firstSheet="4" activeTab="4" xr2:uid="{00000000-000D-0000-FFFF-FFFF00000000}"/>
  </bookViews>
  <sheets>
    <sheet name="Sales by Category" sheetId="2" r:id="rId1"/>
    <sheet name="E-Commerce Sales Dashboard" sheetId="5" r:id="rId2"/>
    <sheet name="Profit by Region" sheetId="3" r:id="rId3"/>
    <sheet name="Monthly Sales Trend" sheetId="4" r:id="rId4"/>
    <sheet name="Sheet1" sheetId="1" r:id="rId5"/>
  </sheets>
  <calcPr calcId="191028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6" i="1" l="1"/>
  <c r="I17" i="1"/>
  <c r="I18" i="1"/>
  <c r="I19" i="1"/>
  <c r="I20" i="1"/>
  <c r="I21" i="1"/>
  <c r="I12" i="1"/>
  <c r="I13" i="1"/>
  <c r="I14" i="1"/>
  <c r="I15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<sst xmlns="http://schemas.openxmlformats.org/spreadsheetml/2006/main" count="98" uniqueCount="46">
  <si>
    <t>Category</t>
  </si>
  <si>
    <t>Sum of Sales</t>
  </si>
  <si>
    <t>Furniture</t>
  </si>
  <si>
    <t>Office Supplies</t>
  </si>
  <si>
    <t>Technology</t>
  </si>
  <si>
    <t>Grand Total</t>
  </si>
  <si>
    <t>E-Commerce Sales Dashboard</t>
  </si>
  <si>
    <t>Total Sales</t>
  </si>
  <si>
    <t>Total Profit</t>
  </si>
  <si>
    <t>Total Orders</t>
  </si>
  <si>
    <t>Created by: Maheswari</t>
  </si>
  <si>
    <t>Region</t>
  </si>
  <si>
    <t>Sum of Profit</t>
  </si>
  <si>
    <t>East</t>
  </si>
  <si>
    <t>North</t>
  </si>
  <si>
    <t>South</t>
  </si>
  <si>
    <t>West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</si>
  <si>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</si>
  <si>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</si>
  <si>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</si>
  <si>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</si>
  <si>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</si>
  <si>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</si>
  <si>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</si>
  <si>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</si>
  <si>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</si>
  <si>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Order_ID</t>
  </si>
  <si>
    <t>Product</t>
  </si>
  <si>
    <t>Quantity</t>
  </si>
  <si>
    <t>Sales</t>
  </si>
  <si>
    <t>Profit</t>
  </si>
  <si>
    <t>Order_Date</t>
  </si>
  <si>
    <t>Laptop</t>
  </si>
  <si>
    <t>Chair</t>
  </si>
  <si>
    <t>Phone</t>
  </si>
  <si>
    <t>Table</t>
  </si>
  <si>
    <t>Printer</t>
  </si>
  <si>
    <t>Notebook</t>
  </si>
  <si>
    <t>Headphones</t>
  </si>
  <si>
    <t>Sofa</t>
  </si>
  <si>
    <t>Mouse</t>
  </si>
  <si>
    <t>Pen Set</t>
  </si>
  <si>
    <t>Keyboard</t>
  </si>
  <si>
    <t>Bookshelf</t>
  </si>
  <si>
    <t>Calculator</t>
  </si>
  <si>
    <t>Smart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</si>
</sst>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2" borderId="0" xfId="0" applyNumberFormat="1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0" fillId="6" borderId="0" xfId="0" applyNumberFormat="1" applyFill="1"/>
    <xf numFmtId="0" fontId="0" fillId="5" borderId="0" xfId="0" applyNumberFormat="1" applyFill="1"/>
    <xf numFmtId="0" fontId="0" fillId="7" borderId="0" xfId="0" applyFill="1"/>
    <xf numFmtId="0" fontId="5" fillId="4" borderId="0" xfId="0" applyFont="1" applyFill="1"/>
    <xf numFmtId="0" fontId="6" fillId="4" borderId="0" xfId="0" applyFont="1" applyFill="1"/>
    <xf numFmtId="0" fontId="0" fillId="8" borderId="0" xfId="0" applyFill="1"/>
    <xf numFmtId="0" fontId="0" fillId="8" borderId="0" xfId="0" applyFill="1" applyAlignment="1">
      <alignment horizontal="center"/>
    </xf>
    <xf numFmtId="0" fontId="4" fillId="8" borderId="0" xfId="0" applyFont="1" applyFill="1"/>
    <xf numFmtId="0" fontId="8" fillId="4" borderId="0" xfId="0" applyFont="1" applyFill="1"/>
    <xf numFmtId="0" fontId="4" fillId="9" borderId="0" xfId="0" applyFont="1" applyFill="1"/>
    <xf numFmtId="0" fontId="3" fillId="9" borderId="0" xfId="0" applyFont="1" applyFill="1"/>
    <xf numFmtId="3" fontId="4" fillId="9" borderId="0" xfId="0" applyNumberFormat="1" applyFont="1" applyFill="1"/>
    <xf numFmtId="0" fontId="0" fillId="9" borderId="0" xfId="0" applyFill="1"/>
    <xf numFmtId="3" fontId="4" fillId="9" borderId="1" xfId="0" applyNumberFormat="1" applyFont="1" applyFill="1" applyBorder="1"/>
    <xf numFmtId="0" fontId="7" fillId="8" borderId="0" xfId="0" applyFont="1" applyFill="1" applyAlignment="1"/>
    <xf numFmtId="14" fontId="0" fillId="2" borderId="0" xfId="0" applyNumberFormat="1" applyFill="1"/>
  </cellXfs>
  <cellStyles count="1">
    <cellStyle name="Normal" xfId="0" builtinId="0"/>
  </cellStyles>
  <dxfs count="26">
    <dxf>
      <numFmt numFmtId="19" formatCode="m/d/yyyy"/>
    </dxf>
    <dxf>
      <numFmt numFmtId="19" formatCode="m/d/yyyy"/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FFFF00"/>
      </font>
    </dxf>
    <dxf>
      <fill>
        <patternFill patternType="solid">
          <fgColor indexed="64"/>
          <bgColor rgb="FFFFFF00"/>
        </patternFill>
      </fill>
    </dxf>
    <dxf>
      <font>
        <color theme="1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7030A0"/>
        </patternFill>
      </fill>
    </dxf>
    <dxf>
      <font>
        <color rgb="FF7030A0"/>
      </font>
    </dxf>
    <dxf>
      <fill>
        <patternFill patternType="solid">
          <fgColor indexed="64"/>
          <bgColor rgb="FF7030A0"/>
        </patternFill>
      </fill>
    </dxf>
    <dxf>
      <font>
        <color theme="0"/>
      </font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theme="9" tint="-0.249977111117893"/>
        </patternFill>
      </fill>
    </dxf>
    <dxf>
      <fill>
        <patternFill patternType="solid">
          <fgColor indexed="64"/>
          <bgColor theme="9" tint="-0.249977111117893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project.xlsx]Sales by Category!PivotTable1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79000</c:v>
                </c:pt>
                <c:pt idx="1">
                  <c:v>55400</c:v>
                </c:pt>
                <c:pt idx="2">
                  <c:v>204000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0-4355-8FFC-26562543D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653256"/>
        <c:axId val="425655304"/>
      </c:barChart>
      <c:catAx>
        <c:axId val="425653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55304"/>
        <c:crosses val="autoZero"/>
        <c:auto val="1"/>
        <c:lblAlgn val="ctr"/>
        <c:lblOffset val="100"/>
        <c:noMultiLvlLbl val="0"/>
      </c:catAx>
      <c:valAx>
        <c:axId val="425655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53256"/>
        <c:crosses val="autoZero"/>
        <c:crossBetween val="between"/>
      </c:valAx>
      <c:dTable>
        <c:showHorzBorder val="0"/>
        <c:showVertBorder val="0"/>
        <c:showOutline val="0"/>
        <c:showKeys val="0"/>
        <c:spPr>
          <a:noFill/>
          <a:ln w="9525" cap="flat" cmpd="sng" algn="ctr">
            <a:solidFill>
              <a:srgbClr val="C65911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C6591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project.xlsx]Monthly Sales Trend!PivotTable3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Trend'!$A$4:$A$12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'Monthly Sales Trend'!$B$4:$B$12</c:f>
              <c:numCache>
                <c:formatCode>General</c:formatCode>
                <c:ptCount val="8"/>
                <c:pt idx="0">
                  <c:v>95000</c:v>
                </c:pt>
                <c:pt idx="1">
                  <c:v>80000</c:v>
                </c:pt>
                <c:pt idx="2">
                  <c:v>43000</c:v>
                </c:pt>
                <c:pt idx="3">
                  <c:v>17400</c:v>
                </c:pt>
                <c:pt idx="4">
                  <c:v>43500</c:v>
                </c:pt>
                <c:pt idx="5">
                  <c:v>21500</c:v>
                </c:pt>
                <c:pt idx="6">
                  <c:v>11000</c:v>
                </c:pt>
                <c:pt idx="7">
                  <c:v>27000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A5-4EBA-872C-3ABF5BA65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598728"/>
        <c:axId val="223740936"/>
      </c:lineChart>
      <c:catAx>
        <c:axId val="285598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740936"/>
        <c:crosses val="autoZero"/>
        <c:auto val="1"/>
        <c:lblAlgn val="ctr"/>
        <c:lblOffset val="100"/>
        <c:noMultiLvlLbl val="0"/>
      </c:catAx>
      <c:valAx>
        <c:axId val="22374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98728"/>
        <c:crosses val="autoZero"/>
        <c:crossBetween val="between"/>
      </c:valAx>
      <c:dTable>
        <c:showHorzBorder val="0"/>
        <c:showVertBorder val="0"/>
        <c:showOutline val="0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project.xlsx]Profit by Region!PivotTable2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4823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823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4823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4823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4823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'Profit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General</c:formatCode>
                <c:ptCount val="4"/>
                <c:pt idx="0">
                  <c:v>19000</c:v>
                </c:pt>
                <c:pt idx="1">
                  <c:v>31200</c:v>
                </c:pt>
                <c:pt idx="2">
                  <c:v>32000</c:v>
                </c:pt>
                <c:pt idx="3">
                  <c:v>18300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F-4B49-88E1-E3C543AD0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0817672"/>
        <c:axId val="280819720"/>
      </c:barChart>
      <c:catAx>
        <c:axId val="280817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19720"/>
        <c:crosses val="autoZero"/>
        <c:auto val="1"/>
        <c:lblAlgn val="ctr"/>
        <c:lblOffset val="100"/>
        <c:noMultiLvlLbl val="0"/>
      </c:catAx>
      <c:valAx>
        <c:axId val="280819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17672"/>
        <c:crosses val="autoZero"/>
        <c:crossBetween val="between"/>
      </c:valAx>
      <c:dTable>
        <c:showHorzBorder val="0"/>
        <c:showVertBorder val="1"/>
        <c:showOutline val="0"/>
        <c:showKeys val="0"/>
        <c:spPr>
          <a:noFill/>
          <a:ln w="9525" cap="flat" cmpd="sng" algn="ctr">
            <a:solidFill>
              <a:srgbClr val="548235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project.xlsx]Sales by Category!PivotTable1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6591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79000</c:v>
                </c:pt>
                <c:pt idx="1">
                  <c:v>55400</c:v>
                </c:pt>
                <c:pt idx="2">
                  <c:v>204000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2-40B9-BA18-D3E23FBCC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653256"/>
        <c:axId val="425655304"/>
      </c:barChart>
      <c:catAx>
        <c:axId val="425653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55304"/>
        <c:crosses val="autoZero"/>
        <c:auto val="1"/>
        <c:lblAlgn val="ctr"/>
        <c:lblOffset val="100"/>
        <c:noMultiLvlLbl val="0"/>
      </c:catAx>
      <c:valAx>
        <c:axId val="425655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53256"/>
        <c:crosses val="autoZero"/>
        <c:crossBetween val="between"/>
      </c:valAx>
      <c:dTable>
        <c:showHorzBorder val="0"/>
        <c:showVertBorder val="0"/>
        <c:showOutline val="0"/>
        <c:showKeys val="0"/>
        <c:spPr>
          <a:noFill/>
          <a:ln w="9525" cap="flat" cmpd="sng" algn="ctr">
            <a:solidFill>
              <a:srgbClr val="C65911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C6591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project.xlsx]Profit by Region!PivotTable2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4823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'Profit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General</c:formatCode>
                <c:ptCount val="4"/>
                <c:pt idx="0">
                  <c:v>19000</c:v>
                </c:pt>
                <c:pt idx="1">
                  <c:v>31200</c:v>
                </c:pt>
                <c:pt idx="2">
                  <c:v>32000</c:v>
                </c:pt>
                <c:pt idx="3">
                  <c:v>18300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8-4A42-BE1F-79044DF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0817672"/>
        <c:axId val="280819720"/>
      </c:barChart>
      <c:catAx>
        <c:axId val="280817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19720"/>
        <c:crosses val="autoZero"/>
        <c:auto val="1"/>
        <c:lblAlgn val="ctr"/>
        <c:lblOffset val="100"/>
        <c:noMultiLvlLbl val="0"/>
      </c:catAx>
      <c:valAx>
        <c:axId val="280819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17672"/>
        <c:crosses val="autoZero"/>
        <c:crossBetween val="between"/>
      </c:valAx>
      <c:dTable>
        <c:showHorzBorder val="0"/>
        <c:showVertBorder val="1"/>
        <c:showOutline val="0"/>
        <c:showKeys val="0"/>
        <c:spPr>
          <a:noFill/>
          <a:ln w="9525" cap="flat" cmpd="sng" algn="ctr">
            <a:solidFill>
              <a:srgbClr val="548235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first project.xlsx]Monthly Sales Trend!PivotTable3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Trend'!$A$4:$A$12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'Monthly Sales Trend'!$B$4:$B$12</c:f>
              <c:numCache>
                <c:formatCode>General</c:formatCode>
                <c:ptCount val="8"/>
                <c:pt idx="0">
                  <c:v>95000</c:v>
                </c:pt>
                <c:pt idx="1">
                  <c:v>80000</c:v>
                </c:pt>
                <c:pt idx="2">
                  <c:v>43000</c:v>
                </c:pt>
                <c:pt idx="3">
                  <c:v>17400</c:v>
                </c:pt>
                <c:pt idx="4">
                  <c:v>43500</c:v>
                </c:pt>
                <c:pt idx="5">
                  <c:v>21500</c:v>
                </c:pt>
                <c:pt idx="6">
                  <c:v>11000</c:v>
                </c:pt>
                <c:pt idx="7">
                  <c:v>27000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2-47EC-8400-6D9256E97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598728"/>
        <c:axId val="223740936"/>
      </c:lineChart>
      <c:catAx>
        <c:axId val="285598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740936"/>
        <c:crosses val="autoZero"/>
        <c:auto val="1"/>
        <c:lblAlgn val="ctr"/>
        <c:lblOffset val="100"/>
        <c:noMultiLvlLbl val="0"/>
      </c:catAx>
      <c:valAx>
        <c:axId val="22374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98728"/>
        <c:crosses val="autoZero"/>
        <c:crossBetween val="between"/>
      </c:valAx>
      <c:dTable>
        <c:showHorzBorder val="0"/>
        <c:showVertBorder val="0"/>
        <c:showOutline val="0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2</xdr:row>
      <xdr:rowOff>57150</xdr:rowOff>
    </xdr:from>
    <xdr:to>
      <xdr:col>9</xdr:col>
      <xdr:colOff>219075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D485C-9A0F-306C-999F-31FFE7E22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24</xdr:row>
      <xdr:rowOff>47625</xdr:rowOff>
    </xdr:from>
    <xdr:to>
      <xdr:col>13</xdr:col>
      <xdr:colOff>142875</xdr:colOff>
      <xdr:row>38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277FFD-CB95-4C33-9CE7-B930F50FD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933450</xdr:colOff>
      <xdr:row>7</xdr:row>
      <xdr:rowOff>76200</xdr:rowOff>
    </xdr:from>
    <xdr:to>
      <xdr:col>17</xdr:col>
      <xdr:colOff>238125</xdr:colOff>
      <xdr:row>21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755859-8ED8-4247-ACC8-AF69202D952A}"/>
            </a:ext>
            <a:ext uri="{147F2762-F138-4A5C-976F-8EAC2B608ADB}">
              <a16:predDERef xmlns:a16="http://schemas.microsoft.com/office/drawing/2014/main" pred="{6E277FFD-CB95-4C33-9CE7-B930F50FD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390525</xdr:colOff>
      <xdr:row>7</xdr:row>
      <xdr:rowOff>95250</xdr:rowOff>
    </xdr:from>
    <xdr:to>
      <xdr:col>9</xdr:col>
      <xdr:colOff>228600</xdr:colOff>
      <xdr:row>21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F0E4BA-F86D-4DF1-AAD8-1FE32D709373}"/>
            </a:ext>
            <a:ext uri="{147F2762-F138-4A5C-976F-8EAC2B608ADB}">
              <a16:predDERef xmlns:a16="http://schemas.microsoft.com/office/drawing/2014/main" pred="{0F755859-8ED8-4247-ACC8-AF69202D9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57150</xdr:rowOff>
    </xdr:from>
    <xdr:to>
      <xdr:col>9</xdr:col>
      <xdr:colOff>152400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B0A2AB-7105-819A-FC84-42BF794EA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2</xdr:row>
      <xdr:rowOff>57150</xdr:rowOff>
    </xdr:from>
    <xdr:to>
      <xdr:col>9</xdr:col>
      <xdr:colOff>371475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93706-6EE3-FE73-A0C9-94994D3C0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4.598084953701" createdVersion="8" refreshedVersion="8" minRefreshableVersion="3" recordCount="20" xr:uid="{000A41B9-C588-4FB3-B9A5-C5BC24CC5DCC}">
  <cacheSource type="worksheet">
    <worksheetSource name="Table1"/>
  </cacheSource>
  <cacheFields count="9">
    <cacheField name="Order_ID" numFmtId="0">
      <sharedItems containsSemiMixedTypes="0" containsString="0" containsNumber="1" containsInteger="1" minValue="1001" maxValue="1020"/>
    </cacheField>
    <cacheField name="Product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Quantity" numFmtId="0">
      <sharedItems containsSemiMixedTypes="0" containsString="0" containsNumber="1" containsInteger="1" minValue="1" maxValue="12"/>
    </cacheField>
    <cacheField name="Sales" numFmtId="0">
      <sharedItems containsSemiMixedTypes="0" containsString="0" containsNumber="1" containsInteger="1" minValue="2400" maxValue="80000"/>
    </cacheField>
    <cacheField name="Profit" numFmtId="0">
      <sharedItems containsSemiMixedTypes="0" containsString="0" containsNumber="1" containsInteger="1" minValue="500" maxValue="18000"/>
    </cacheField>
    <cacheField name="Region" numFmtId="0">
      <sharedItems count="4">
        <s v="South"/>
        <s v="North"/>
        <s v="East"/>
        <s v="West"/>
      </sharedItems>
    </cacheField>
    <cacheField name="Order_Date" numFmtId="14">
      <sharedItems containsSemiMixedTypes="0" containsNonDate="0" containsDate="1" containsString="0" minDate="2025-01-10T00:00:00" maxDate="2025-08-06T00:00:00"/>
    </cacheField>
    <cacheField name="Month" numFmtId="0">
      <sharedItems count="8">
        <s v="January"/>
        <s v="February"/>
        <s v="March"/>
        <s v="April"/>
        <s v="May"/>
        <s v="June"/>
        <s v="July"/>
        <s v="Augu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s v="Laptop"/>
    <x v="0"/>
    <n v="2"/>
    <n v="80000"/>
    <n v="12000"/>
    <x v="0"/>
    <d v="2025-01-10T00:00:00"/>
    <x v="0"/>
  </r>
  <r>
    <n v="1002"/>
    <s v="Chair"/>
    <x v="1"/>
    <n v="3"/>
    <n v="15000"/>
    <n v="3000"/>
    <x v="1"/>
    <d v="2025-01-15T00:00:00"/>
    <x v="0"/>
  </r>
  <r>
    <n v="1003"/>
    <s v="Phone"/>
    <x v="0"/>
    <n v="5"/>
    <n v="50000"/>
    <n v="10000"/>
    <x v="2"/>
    <d v="2025-02-01T00:00:00"/>
    <x v="1"/>
  </r>
  <r>
    <n v="1004"/>
    <s v="Table"/>
    <x v="1"/>
    <n v="1"/>
    <n v="12000"/>
    <n v="2500"/>
    <x v="3"/>
    <d v="2025-02-10T00:00:00"/>
    <x v="1"/>
  </r>
  <r>
    <n v="1005"/>
    <s v="Printer"/>
    <x v="2"/>
    <n v="2"/>
    <n v="18000"/>
    <n v="4000"/>
    <x v="0"/>
    <d v="2025-02-15T00:00:00"/>
    <x v="1"/>
  </r>
  <r>
    <n v="1006"/>
    <s v="Notebook"/>
    <x v="2"/>
    <n v="10"/>
    <n v="5000"/>
    <n v="1200"/>
    <x v="1"/>
    <d v="2025-03-01T00:00:00"/>
    <x v="2"/>
  </r>
  <r>
    <n v="1007"/>
    <s v="Headphones"/>
    <x v="0"/>
    <n v="4"/>
    <n v="8000"/>
    <n v="2000"/>
    <x v="2"/>
    <d v="2025-03-08T00:00:00"/>
    <x v="2"/>
  </r>
  <r>
    <n v="1008"/>
    <s v="Sofa"/>
    <x v="1"/>
    <n v="1"/>
    <n v="30000"/>
    <n v="6000"/>
    <x v="3"/>
    <d v="2025-03-15T00:00:00"/>
    <x v="2"/>
  </r>
  <r>
    <n v="1009"/>
    <s v="Mouse"/>
    <x v="0"/>
    <n v="6"/>
    <n v="6000"/>
    <n v="1500"/>
    <x v="0"/>
    <d v="2025-04-01T00:00:00"/>
    <x v="3"/>
  </r>
  <r>
    <n v="1010"/>
    <s v="Pen Set"/>
    <x v="2"/>
    <n v="12"/>
    <n v="2400"/>
    <n v="500"/>
    <x v="1"/>
    <d v="2025-04-10T00:00:00"/>
    <x v="3"/>
  </r>
  <r>
    <n v="1011"/>
    <s v="Keyboard"/>
    <x v="0"/>
    <n v="3"/>
    <n v="9000"/>
    <n v="2000"/>
    <x v="2"/>
    <d v="2025-04-15T00:00:00"/>
    <x v="3"/>
  </r>
  <r>
    <n v="1012"/>
    <s v="Bookshelf"/>
    <x v="1"/>
    <n v="2"/>
    <n v="22000"/>
    <n v="4500"/>
    <x v="0"/>
    <d v="2025-05-01T00:00:00"/>
    <x v="4"/>
  </r>
  <r>
    <n v="1013"/>
    <s v="Calculator"/>
    <x v="2"/>
    <n v="5"/>
    <n v="3500"/>
    <n v="800"/>
    <x v="3"/>
    <d v="2025-05-05T00:00:00"/>
    <x v="4"/>
  </r>
  <r>
    <n v="1014"/>
    <s v="Smart Watch"/>
    <x v="0"/>
    <n v="2"/>
    <n v="18000"/>
    <n v="5000"/>
    <x v="1"/>
    <d v="2025-05-12T00:00:00"/>
    <x v="4"/>
  </r>
  <r>
    <n v="1015"/>
    <s v="Printer"/>
    <x v="2"/>
    <n v="4"/>
    <n v="18000"/>
    <n v="4000"/>
    <x v="0"/>
    <d v="2025-06-15T00:00:00"/>
    <x v="5"/>
  </r>
  <r>
    <n v="1016"/>
    <s v="Calculator"/>
    <x v="2"/>
    <n v="2"/>
    <n v="3500"/>
    <n v="3500"/>
    <x v="1"/>
    <d v="2025-06-01T00:00:00"/>
    <x v="5"/>
  </r>
  <r>
    <n v="1017"/>
    <s v="Notebook"/>
    <x v="2"/>
    <n v="1"/>
    <n v="5000"/>
    <n v="5000"/>
    <x v="2"/>
    <d v="2025-07-10T00:00:00"/>
    <x v="6"/>
  </r>
  <r>
    <n v="1018"/>
    <s v="Mouse"/>
    <x v="0"/>
    <n v="3"/>
    <n v="6000"/>
    <n v="6000"/>
    <x v="0"/>
    <d v="2025-07-15T00:00:00"/>
    <x v="6"/>
  </r>
  <r>
    <n v="1019"/>
    <s v="Keyboard"/>
    <x v="0"/>
    <n v="2"/>
    <n v="9000"/>
    <n v="9000"/>
    <x v="3"/>
    <d v="2025-08-01T00:00:00"/>
    <x v="7"/>
  </r>
  <r>
    <n v="1020"/>
    <s v="Smart Watch"/>
    <x v="0"/>
    <n v="6"/>
    <n v="18000"/>
    <n v="18000"/>
    <x v="1"/>
    <d v="2025-08-05T00:00:0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73CCD-0430-4A12-84AC-7351167195B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9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formats count="5">
    <format dxfId="21">
      <pivotArea outline="0" collapsedLevelsAreSubtotals="1" fieldPosition="0"/>
    </format>
    <format dxfId="22">
      <pivotArea dataOnly="0" labelOnly="1" outline="0" fieldPosition="0">
        <references count="1">
          <reference field="2" count="0"/>
        </references>
      </pivotArea>
    </format>
    <format dxfId="23">
      <pivotArea dataOnly="0" labelOnly="1" grandRow="1" outline="0" fieldPosition="0"/>
    </format>
    <format dxfId="24">
      <pivotArea field="2" type="button" dataOnly="0" labelOnly="1" outline="0" axis="axisRow" fieldPosition="0"/>
    </format>
    <format dxfId="25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7D8BD-79E6-4665-9201-8AFAA544FDB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numFmtId="14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5" baseField="0" baseItem="0"/>
  </dataFields>
  <formats count="6">
    <format dxfId="15">
      <pivotArea field="6" type="button" dataOnly="0" labelOnly="1" outline="0" axis="axisRow" fieldPosition="0"/>
    </format>
    <format dxfId="16">
      <pivotArea dataOnly="0" labelOnly="1" outline="0" axis="axisValues" fieldPosition="0"/>
    </format>
    <format dxfId="17">
      <pivotArea outline="0" fieldPosition="0">
        <references count="1">
          <reference field="6" count="0" selected="0"/>
        </references>
      </pivotArea>
    </format>
    <format dxfId="18">
      <pivotArea dataOnly="0" labelOnly="1" outline="0" fieldPosition="0">
        <references count="1">
          <reference field="6" count="0"/>
        </references>
      </pivotArea>
    </format>
    <format dxfId="19">
      <pivotArea grandRow="1" outline="0" collapsedLevelsAreSubtotals="1" fieldPosition="0"/>
    </format>
    <format dxfId="20">
      <pivotArea dataOnly="0" labelOnly="1" grandRow="1" outline="0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5E689-10D0-4FBA-9441-57A0CA0F5F33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2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4" baseField="0" baseItem="0"/>
  </dataFields>
  <formats count="12">
    <format dxfId="3">
      <pivotArea field="8" type="button" dataOnly="0" labelOnly="1" outline="0" axis="axisRow" fieldPosition="0"/>
    </format>
    <format dxfId="4">
      <pivotArea field="8" type="button" dataOnly="0" labelOnly="1" outline="0" axis="axisRow" fieldPosition="0"/>
    </format>
    <format dxfId="5">
      <pivotArea field="8" type="button" dataOnly="0" labelOnly="1" outline="0" axis="axisRow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8" type="button" dataOnly="0" labelOnly="1" outline="0" axis="axisRow" fieldPosition="0"/>
    </format>
    <format dxfId="9">
      <pivotArea dataOnly="0" labelOnly="1" outline="0" fieldPosition="0">
        <references count="1">
          <reference field="8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  <format dxfId="12">
      <pivotArea field="8" type="button" dataOnly="0" labelOnly="1" outline="0" axis="axisRow" fieldPosition="0"/>
    </format>
    <format dxfId="13">
      <pivotArea field="8" type="button" dataOnly="0" labelOnly="1" outline="0" axis="axisRow" fieldPosition="0"/>
    </format>
    <format dxfId="14">
      <pivotArea field="8" type="button" dataOnly="0" labelOnly="1" outline="0" axis="axisRow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2ED5F-9DD6-4AE6-B092-DDE04589E37E}" name="Table1" displayName="Table1" ref="A1:I22" totalsRowCount="1" headerRowDxfId="2">
  <autoFilter ref="A1:I21" xr:uid="{E7C2ED5F-9DD6-4AE6-B092-DDE04589E37E}">
    <filterColumn colId="7">
      <filters>
        <dateGroupItem year="2025" month="2" dateTimeGrouping="month"/>
        <dateGroupItem year="2025" month="3" dateTimeGrouping="month"/>
        <dateGroupItem year="2025" month="4" dateTimeGrouping="month"/>
        <dateGroupItem year="2025" month="5" dateTimeGrouping="month"/>
        <dateGroupItem year="2025" month="6" dateTimeGrouping="month"/>
        <dateGroupItem year="2025" month="7" dateTimeGrouping="month"/>
        <dateGroupItem year="2025" month="8" dateTimeGrouping="month"/>
      </filters>
    </filterColumn>
  </autoFilter>
  <tableColumns count="9">
    <tableColumn id="1" xr3:uid="{4FE142AC-16F5-494D-AEA2-A52B4DE16F60}" name="Order_ID"/>
    <tableColumn id="2" xr3:uid="{DA14CAB3-0B12-4886-B42C-A01E36765A7A}" name="Product"/>
    <tableColumn id="3" xr3:uid="{95A265C5-C0BC-49F5-A11D-70FF42DE4D09}" name="Category"/>
    <tableColumn id="4" xr3:uid="{30E679E8-1089-432B-842E-8F8764A6EF5F}" name="Quantity"/>
    <tableColumn id="5" xr3:uid="{F6D117DA-A0F7-4F7F-96BE-4379483C3DD6}" name="Sales"/>
    <tableColumn id="6" xr3:uid="{C155E7C3-3093-4857-8EFF-CAD22F24E259}" name="Profit"/>
    <tableColumn id="7" xr3:uid="{0B22BD1A-939C-42D9-82FE-8DBB4289B2C4}" name="Region"/>
    <tableColumn id="8" xr3:uid="{91D4A612-D559-458D-A507-6D021070216B}" name="Order_Date" dataDxfId="0" totalsRowDxfId="1"/>
    <tableColumn id="9" xr3:uid="{2BB475AF-F4F9-4280-B083-F7B710F96BA3}" name="Month">
      <calculatedColumnFormula>TEXT(H2,"MMMM")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6E41-0938-402F-9938-BBAD05DFF7FC}">
  <dimension ref="A3:B7"/>
  <sheetViews>
    <sheetView workbookViewId="0">
      <selection activeCell="B3" sqref="B3"/>
    </sheetView>
  </sheetViews>
  <sheetFormatPr defaultRowHeight="15"/>
  <cols>
    <col min="1" max="1" width="13.7109375" bestFit="1" customWidth="1"/>
    <col min="2" max="2" width="12.140625" bestFit="1" customWidth="1"/>
  </cols>
  <sheetData>
    <row r="3" spans="1:2">
      <c r="A3" s="12" t="s">
        <v>0</v>
      </c>
      <c r="B3" s="12" t="s">
        <v>1</v>
      </c>
    </row>
    <row r="4" spans="1:2">
      <c r="A4" s="8" t="s">
        <v>2</v>
      </c>
      <c r="B4" s="11">
        <v>79000</v>
      </c>
    </row>
    <row r="5" spans="1:2">
      <c r="A5" s="8" t="s">
        <v>3</v>
      </c>
      <c r="B5" s="11">
        <v>55400</v>
      </c>
    </row>
    <row r="6" spans="1:2">
      <c r="A6" s="8" t="s">
        <v>4</v>
      </c>
      <c r="B6" s="11">
        <v>204000</v>
      </c>
    </row>
    <row r="7" spans="1:2">
      <c r="A7" s="8" t="s">
        <v>5</v>
      </c>
      <c r="B7" s="11">
        <v>338400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F83C-C590-4B03-94D8-3E4B7B437A42}">
  <dimension ref="A1:R42"/>
  <sheetViews>
    <sheetView showGridLines="0" workbookViewId="0">
      <selection activeCell="AH9" sqref="AH9"/>
    </sheetView>
  </sheetViews>
  <sheetFormatPr defaultRowHeight="15"/>
  <cols>
    <col min="1" max="2" width="9.140625" style="15"/>
    <col min="3" max="3" width="10.140625" style="15" bestFit="1" customWidth="1"/>
    <col min="4" max="4" width="9.140625" style="15"/>
    <col min="5" max="5" width="14.140625" style="15" bestFit="1" customWidth="1"/>
    <col min="6" max="7" width="9.140625" style="15"/>
    <col min="8" max="8" width="14.7109375" style="15" customWidth="1"/>
    <col min="9" max="9" width="9.140625" style="15"/>
    <col min="10" max="10" width="4" style="15" customWidth="1"/>
    <col min="11" max="11" width="15" style="15" customWidth="1"/>
    <col min="12" max="12" width="11.7109375" style="15" bestFit="1" customWidth="1"/>
    <col min="13" max="13" width="5.85546875" style="15" customWidth="1"/>
    <col min="14" max="14" width="9.140625" style="15"/>
    <col min="15" max="15" width="21" style="15" bestFit="1" customWidth="1"/>
    <col min="16" max="16" width="7" style="15" customWidth="1"/>
    <col min="17" max="16384" width="9.140625" style="15"/>
  </cols>
  <sheetData>
    <row r="1" spans="1:17">
      <c r="A1" s="16"/>
    </row>
    <row r="3" spans="1:17" ht="33.75">
      <c r="H3" s="18"/>
      <c r="I3" s="14" t="s">
        <v>6</v>
      </c>
      <c r="J3" s="13"/>
      <c r="K3" s="13"/>
      <c r="L3" s="13"/>
      <c r="M3" s="6"/>
      <c r="N3" s="6"/>
      <c r="O3" s="6"/>
    </row>
    <row r="5" spans="1:17" ht="26.25">
      <c r="C5" s="19" t="s">
        <v>7</v>
      </c>
      <c r="D5" s="20"/>
      <c r="E5" s="21">
        <v>114400</v>
      </c>
      <c r="H5" s="19" t="s">
        <v>8</v>
      </c>
      <c r="I5" s="19"/>
      <c r="J5" s="22"/>
      <c r="K5" s="23">
        <v>100500</v>
      </c>
      <c r="L5" s="17"/>
      <c r="O5" s="19" t="s">
        <v>9</v>
      </c>
      <c r="P5" s="22"/>
      <c r="Q5" s="19">
        <v>20</v>
      </c>
    </row>
    <row r="42" spans="16:18" ht="18.75">
      <c r="P42" s="24" t="s">
        <v>10</v>
      </c>
      <c r="Q42" s="24"/>
      <c r="R42" s="24"/>
    </row>
  </sheetData>
  <mergeCells count="1">
    <mergeCell ref="P42:R4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7539-C69D-4527-BC69-FA8D5A8AA6DF}">
  <dimension ref="A3:B8"/>
  <sheetViews>
    <sheetView workbookViewId="0">
      <selection activeCell="A8" sqref="A8"/>
    </sheetView>
  </sheetViews>
  <sheetFormatPr defaultRowHeight="15"/>
  <cols>
    <col min="1" max="1" width="11.42578125" bestFit="1" customWidth="1"/>
    <col min="2" max="2" width="12.5703125" bestFit="1" customWidth="1"/>
  </cols>
  <sheetData>
    <row r="3" spans="1:2">
      <c r="A3" s="8" t="s">
        <v>11</v>
      </c>
      <c r="B3" s="8" t="s">
        <v>12</v>
      </c>
    </row>
    <row r="4" spans="1:2">
      <c r="A4" s="9" t="s">
        <v>13</v>
      </c>
      <c r="B4" s="10">
        <v>19000</v>
      </c>
    </row>
    <row r="5" spans="1:2">
      <c r="A5" s="9" t="s">
        <v>14</v>
      </c>
      <c r="B5" s="10">
        <v>31200</v>
      </c>
    </row>
    <row r="6" spans="1:2">
      <c r="A6" s="9" t="s">
        <v>15</v>
      </c>
      <c r="B6" s="10">
        <v>32000</v>
      </c>
    </row>
    <row r="7" spans="1:2">
      <c r="A7" s="9" t="s">
        <v>16</v>
      </c>
      <c r="B7" s="10">
        <v>18300</v>
      </c>
    </row>
    <row r="8" spans="1:2">
      <c r="A8" s="9" t="s">
        <v>5</v>
      </c>
      <c r="B8" s="10">
        <v>100500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842C-EE3F-4CFD-9ACE-7FD8A2F57756}">
  <dimension ref="A3:E12"/>
  <sheetViews>
    <sheetView workbookViewId="0">
      <selection activeCell="K9" sqref="K9"/>
    </sheetView>
  </sheetViews>
  <sheetFormatPr defaultRowHeight="15"/>
  <cols>
    <col min="1" max="1" width="11.42578125" bestFit="1" customWidth="1"/>
    <col min="2" max="2" width="12.140625" bestFit="1" customWidth="1"/>
  </cols>
  <sheetData>
    <row r="3" spans="1:5">
      <c r="A3" s="7" t="s">
        <v>17</v>
      </c>
      <c r="B3" s="6" t="s">
        <v>1</v>
      </c>
    </row>
    <row r="4" spans="1:5">
      <c r="A4" s="3" t="s">
        <v>18</v>
      </c>
      <c r="B4" s="5">
        <v>95000</v>
      </c>
    </row>
    <row r="5" spans="1:5">
      <c r="A5" s="3" t="s">
        <v>19</v>
      </c>
      <c r="B5" s="5">
        <v>80000</v>
      </c>
    </row>
    <row r="6" spans="1:5">
      <c r="A6" s="3" t="s">
        <v>20</v>
      </c>
      <c r="B6" s="5">
        <v>43000</v>
      </c>
      <c r="E6" s="4"/>
    </row>
    <row r="7" spans="1:5">
      <c r="A7" s="3" t="s">
        <v>21</v>
      </c>
      <c r="B7" s="5">
        <v>17400</v>
      </c>
    </row>
    <row r="8" spans="1:5">
      <c r="A8" s="3" t="s">
        <v>22</v>
      </c>
      <c r="B8" s="5">
        <v>43500</v>
      </c>
    </row>
    <row r="9" spans="1:5">
      <c r="A9" s="3" t="s">
        <v>23</v>
      </c>
      <c r="B9" s="5">
        <v>21500</v>
      </c>
    </row>
    <row r="10" spans="1:5">
      <c r="A10" s="3" t="s">
        <v>24</v>
      </c>
      <c r="B10" s="5">
        <v>11000</v>
      </c>
    </row>
    <row r="11" spans="1:5">
      <c r="A11" s="3" t="s">
        <v>25</v>
      </c>
      <c r="B11" s="5">
        <v>27000</v>
      </c>
    </row>
    <row r="12" spans="1:5">
      <c r="A12" s="3" t="s">
        <v>5</v>
      </c>
      <c r="B12" s="5">
        <v>338400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O9" sqref="O9"/>
    </sheetView>
  </sheetViews>
  <sheetFormatPr defaultRowHeight="15"/>
  <cols>
    <col min="1" max="1" width="11.28515625" bestFit="1" customWidth="1"/>
    <col min="2" max="2" width="12.140625" bestFit="1" customWidth="1"/>
    <col min="3" max="3" width="13.7109375" bestFit="1" customWidth="1"/>
    <col min="4" max="4" width="11" bestFit="1" customWidth="1"/>
    <col min="7" max="7" width="9.28515625" bestFit="1" customWidth="1"/>
    <col min="8" max="8" width="13.5703125" bestFit="1" customWidth="1"/>
  </cols>
  <sheetData>
    <row r="1" spans="1:9">
      <c r="A1" s="1" t="s">
        <v>26</v>
      </c>
      <c r="B1" s="1" t="s">
        <v>27</v>
      </c>
      <c r="C1" s="1" t="s">
        <v>0</v>
      </c>
      <c r="D1" s="1" t="s">
        <v>28</v>
      </c>
      <c r="E1" s="1" t="s">
        <v>29</v>
      </c>
      <c r="F1" s="1" t="s">
        <v>30</v>
      </c>
      <c r="G1" s="1" t="s">
        <v>11</v>
      </c>
      <c r="H1" s="1" t="s">
        <v>31</v>
      </c>
      <c r="I1" s="1" t="s">
        <v>17</v>
      </c>
    </row>
    <row r="2" spans="1:9" hidden="1">
      <c r="A2">
        <v>1001</v>
      </c>
      <c r="B2" t="s">
        <v>32</v>
      </c>
      <c r="C2" t="s">
        <v>4</v>
      </c>
      <c r="D2">
        <v>2</v>
      </c>
      <c r="E2">
        <v>80000</v>
      </c>
      <c r="F2">
        <v>12000</v>
      </c>
      <c r="G2" t="s">
        <v>15</v>
      </c>
      <c r="H2" s="2">
        <v>45667</v>
      </c>
      <c r="I2" t="str">
        <f>TEXT(H2,"MMMM")</f>
        <v>January</v>
      </c>
    </row>
    <row r="3" spans="1:9" hidden="1">
      <c r="A3">
        <v>1002</v>
      </c>
      <c r="B3" t="s">
        <v>33</v>
      </c>
      <c r="C3" t="s">
        <v>2</v>
      </c>
      <c r="D3">
        <v>3</v>
      </c>
      <c r="E3">
        <v>15000</v>
      </c>
      <c r="F3">
        <v>3000</v>
      </c>
      <c r="G3" t="s">
        <v>14</v>
      </c>
      <c r="H3" s="2">
        <v>45672</v>
      </c>
      <c r="I3" t="str">
        <f t="shared" ref="I3:I21" si="0">TEXT(H3,"MMMM")</f>
        <v>January</v>
      </c>
    </row>
    <row r="4" spans="1:9">
      <c r="A4">
        <v>1003</v>
      </c>
      <c r="B4" t="s">
        <v>34</v>
      </c>
      <c r="C4" t="s">
        <v>4</v>
      </c>
      <c r="D4">
        <v>5</v>
      </c>
      <c r="E4">
        <v>50000</v>
      </c>
      <c r="F4">
        <v>10000</v>
      </c>
      <c r="G4" t="s">
        <v>13</v>
      </c>
      <c r="H4" s="2">
        <v>45689</v>
      </c>
      <c r="I4" t="str">
        <f t="shared" si="0"/>
        <v>February</v>
      </c>
    </row>
    <row r="5" spans="1:9">
      <c r="A5">
        <v>1004</v>
      </c>
      <c r="B5" t="s">
        <v>35</v>
      </c>
      <c r="C5" t="s">
        <v>2</v>
      </c>
      <c r="D5">
        <v>1</v>
      </c>
      <c r="E5">
        <v>12000</v>
      </c>
      <c r="F5">
        <v>2500</v>
      </c>
      <c r="G5" t="s">
        <v>16</v>
      </c>
      <c r="H5" s="2">
        <v>45698</v>
      </c>
      <c r="I5" t="str">
        <f t="shared" si="0"/>
        <v>February</v>
      </c>
    </row>
    <row r="6" spans="1:9">
      <c r="A6">
        <v>1005</v>
      </c>
      <c r="B6" t="s">
        <v>36</v>
      </c>
      <c r="C6" t="s">
        <v>3</v>
      </c>
      <c r="D6">
        <v>2</v>
      </c>
      <c r="E6">
        <v>18000</v>
      </c>
      <c r="F6">
        <v>4000</v>
      </c>
      <c r="G6" t="s">
        <v>15</v>
      </c>
      <c r="H6" s="2">
        <v>45703</v>
      </c>
      <c r="I6" t="str">
        <f t="shared" si="0"/>
        <v>February</v>
      </c>
    </row>
    <row r="7" spans="1:9">
      <c r="A7">
        <v>1006</v>
      </c>
      <c r="B7" t="s">
        <v>37</v>
      </c>
      <c r="C7" t="s">
        <v>3</v>
      </c>
      <c r="D7">
        <v>10</v>
      </c>
      <c r="E7">
        <v>5000</v>
      </c>
      <c r="F7">
        <v>1200</v>
      </c>
      <c r="G7" t="s">
        <v>14</v>
      </c>
      <c r="H7" s="2">
        <v>45717</v>
      </c>
      <c r="I7" t="str">
        <f t="shared" si="0"/>
        <v>March</v>
      </c>
    </row>
    <row r="8" spans="1:9">
      <c r="A8">
        <v>1007</v>
      </c>
      <c r="B8" t="s">
        <v>38</v>
      </c>
      <c r="C8" t="s">
        <v>4</v>
      </c>
      <c r="D8">
        <v>4</v>
      </c>
      <c r="E8">
        <v>8000</v>
      </c>
      <c r="F8">
        <v>2000</v>
      </c>
      <c r="G8" t="s">
        <v>13</v>
      </c>
      <c r="H8" s="2">
        <v>45724</v>
      </c>
      <c r="I8" t="str">
        <f t="shared" si="0"/>
        <v>March</v>
      </c>
    </row>
    <row r="9" spans="1:9">
      <c r="A9">
        <v>1008</v>
      </c>
      <c r="B9" t="s">
        <v>39</v>
      </c>
      <c r="C9" t="s">
        <v>2</v>
      </c>
      <c r="D9">
        <v>1</v>
      </c>
      <c r="E9">
        <v>30000</v>
      </c>
      <c r="F9">
        <v>6000</v>
      </c>
      <c r="G9" t="s">
        <v>16</v>
      </c>
      <c r="H9" s="2">
        <v>45731</v>
      </c>
      <c r="I9" t="str">
        <f t="shared" si="0"/>
        <v>March</v>
      </c>
    </row>
    <row r="10" spans="1:9">
      <c r="A10">
        <v>1009</v>
      </c>
      <c r="B10" t="s">
        <v>40</v>
      </c>
      <c r="C10" t="s">
        <v>4</v>
      </c>
      <c r="D10">
        <v>6</v>
      </c>
      <c r="E10">
        <v>6000</v>
      </c>
      <c r="F10">
        <v>1500</v>
      </c>
      <c r="G10" t="s">
        <v>15</v>
      </c>
      <c r="H10" s="2">
        <v>45748</v>
      </c>
      <c r="I10" t="str">
        <f t="shared" si="0"/>
        <v>April</v>
      </c>
    </row>
    <row r="11" spans="1:9">
      <c r="A11">
        <v>1010</v>
      </c>
      <c r="B11" t="s">
        <v>41</v>
      </c>
      <c r="C11" t="s">
        <v>3</v>
      </c>
      <c r="D11">
        <v>12</v>
      </c>
      <c r="E11">
        <v>2400</v>
      </c>
      <c r="F11">
        <v>500</v>
      </c>
      <c r="G11" t="s">
        <v>14</v>
      </c>
      <c r="H11" s="2">
        <v>45757</v>
      </c>
      <c r="I11" t="str">
        <f t="shared" si="0"/>
        <v>April</v>
      </c>
    </row>
    <row r="12" spans="1:9">
      <c r="A12">
        <v>1011</v>
      </c>
      <c r="B12" t="s">
        <v>42</v>
      </c>
      <c r="C12" t="s">
        <v>4</v>
      </c>
      <c r="D12">
        <v>3</v>
      </c>
      <c r="E12">
        <v>9000</v>
      </c>
      <c r="F12">
        <v>2000</v>
      </c>
      <c r="G12" t="s">
        <v>13</v>
      </c>
      <c r="H12" s="2">
        <v>45762</v>
      </c>
      <c r="I12" t="str">
        <f t="shared" si="0"/>
        <v>April</v>
      </c>
    </row>
    <row r="13" spans="1:9">
      <c r="A13">
        <v>1012</v>
      </c>
      <c r="B13" t="s">
        <v>43</v>
      </c>
      <c r="C13" t="s">
        <v>2</v>
      </c>
      <c r="D13">
        <v>2</v>
      </c>
      <c r="E13">
        <v>22000</v>
      </c>
      <c r="F13">
        <v>4500</v>
      </c>
      <c r="G13" t="s">
        <v>15</v>
      </c>
      <c r="H13" s="2">
        <v>45778</v>
      </c>
      <c r="I13" t="str">
        <f t="shared" si="0"/>
        <v>May</v>
      </c>
    </row>
    <row r="14" spans="1:9">
      <c r="A14">
        <v>1013</v>
      </c>
      <c r="B14" t="s">
        <v>44</v>
      </c>
      <c r="C14" t="s">
        <v>3</v>
      </c>
      <c r="D14">
        <v>5</v>
      </c>
      <c r="E14">
        <v>3500</v>
      </c>
      <c r="F14">
        <v>800</v>
      </c>
      <c r="G14" t="s">
        <v>16</v>
      </c>
      <c r="H14" s="2">
        <v>45782</v>
      </c>
      <c r="I14" t="str">
        <f t="shared" si="0"/>
        <v>May</v>
      </c>
    </row>
    <row r="15" spans="1:9">
      <c r="A15">
        <v>1014</v>
      </c>
      <c r="B15" t="s">
        <v>45</v>
      </c>
      <c r="C15" t="s">
        <v>4</v>
      </c>
      <c r="D15">
        <v>2</v>
      </c>
      <c r="E15">
        <v>18000</v>
      </c>
      <c r="F15">
        <v>5000</v>
      </c>
      <c r="G15" t="s">
        <v>14</v>
      </c>
      <c r="H15" s="2">
        <v>45789</v>
      </c>
      <c r="I15" t="str">
        <f t="shared" si="0"/>
        <v>May</v>
      </c>
    </row>
    <row r="16" spans="1:9">
      <c r="A16">
        <v>1015</v>
      </c>
      <c r="B16" t="s">
        <v>36</v>
      </c>
      <c r="C16" t="s">
        <v>3</v>
      </c>
      <c r="D16">
        <v>4</v>
      </c>
      <c r="E16">
        <v>18000</v>
      </c>
      <c r="F16">
        <v>4000</v>
      </c>
      <c r="G16" t="s">
        <v>15</v>
      </c>
      <c r="H16" s="2">
        <v>45823</v>
      </c>
      <c r="I16" t="str">
        <f t="shared" si="0"/>
        <v>June</v>
      </c>
    </row>
    <row r="17" spans="1:9">
      <c r="A17">
        <v>1016</v>
      </c>
      <c r="B17" t="s">
        <v>44</v>
      </c>
      <c r="C17" t="s">
        <v>3</v>
      </c>
      <c r="D17">
        <v>2</v>
      </c>
      <c r="E17">
        <v>3500</v>
      </c>
      <c r="F17">
        <v>3500</v>
      </c>
      <c r="G17" t="s">
        <v>14</v>
      </c>
      <c r="H17" s="2">
        <v>45809</v>
      </c>
      <c r="I17" t="str">
        <f t="shared" si="0"/>
        <v>June</v>
      </c>
    </row>
    <row r="18" spans="1:9">
      <c r="A18">
        <v>1017</v>
      </c>
      <c r="B18" t="s">
        <v>37</v>
      </c>
      <c r="C18" t="s">
        <v>3</v>
      </c>
      <c r="D18">
        <v>1</v>
      </c>
      <c r="E18">
        <v>5000</v>
      </c>
      <c r="F18">
        <v>5000</v>
      </c>
      <c r="G18" t="s">
        <v>13</v>
      </c>
      <c r="H18" s="2">
        <v>45848</v>
      </c>
      <c r="I18" t="str">
        <f t="shared" si="0"/>
        <v>July</v>
      </c>
    </row>
    <row r="19" spans="1:9">
      <c r="A19">
        <v>1018</v>
      </c>
      <c r="B19" t="s">
        <v>40</v>
      </c>
      <c r="C19" t="s">
        <v>4</v>
      </c>
      <c r="D19">
        <v>3</v>
      </c>
      <c r="E19">
        <v>6000</v>
      </c>
      <c r="F19">
        <v>6000</v>
      </c>
      <c r="G19" t="s">
        <v>15</v>
      </c>
      <c r="H19" s="2">
        <v>45853</v>
      </c>
      <c r="I19" t="str">
        <f t="shared" si="0"/>
        <v>July</v>
      </c>
    </row>
    <row r="20" spans="1:9">
      <c r="A20">
        <v>1019</v>
      </c>
      <c r="B20" t="s">
        <v>42</v>
      </c>
      <c r="C20" t="s">
        <v>4</v>
      </c>
      <c r="D20">
        <v>2</v>
      </c>
      <c r="E20">
        <v>9000</v>
      </c>
      <c r="F20">
        <v>9000</v>
      </c>
      <c r="G20" t="s">
        <v>16</v>
      </c>
      <c r="H20" s="2">
        <v>45870</v>
      </c>
      <c r="I20" t="str">
        <f t="shared" si="0"/>
        <v>August</v>
      </c>
    </row>
    <row r="21" spans="1:9">
      <c r="A21">
        <v>1020</v>
      </c>
      <c r="B21" t="s">
        <v>45</v>
      </c>
      <c r="C21" t="s">
        <v>4</v>
      </c>
      <c r="D21">
        <v>6</v>
      </c>
      <c r="E21">
        <v>18000</v>
      </c>
      <c r="F21">
        <v>18000</v>
      </c>
      <c r="G21" t="s">
        <v>14</v>
      </c>
      <c r="H21" s="2">
        <v>45874</v>
      </c>
      <c r="I21" t="str">
        <f t="shared" si="0"/>
        <v>August</v>
      </c>
    </row>
    <row r="22" spans="1:9">
      <c r="H22" s="2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maheswari s</cp:lastModifiedBy>
  <cp:revision/>
  <dcterms:created xsi:type="dcterms:W3CDTF">2026-06-02T02:06:32Z</dcterms:created>
  <dcterms:modified xsi:type="dcterms:W3CDTF">2026-06-07T06:03:57Z</dcterms:modified>
  <cp:category/>
  <cp:contentStatus/>
</cp:coreProperties>
</file>